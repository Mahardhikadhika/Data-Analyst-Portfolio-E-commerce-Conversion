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Pivot Table 3" sheetId="2" r:id="rId6"/>
    <sheet state="hidden" name="Key Answer" sheetId="3" r:id="rId7"/>
  </sheets>
  <definedNames>
    <definedName hidden="1" localSheetId="0" name="_xlnm._FilterDatabase">Dataset!$A$1:$F$30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<sst xmlns="http://schemas.openxmlformats.org/spreadsheetml/2006/main" count="119" uniqueCount="17">
  <si>
    <t>User ID</t>
  </si>
  <si>
    <t>Stage</t>
  </si>
  <si>
    <t>Timestamp</t>
  </si>
  <si>
    <t>Product ID</t>
  </si>
  <si>
    <t>Quantity</t>
  </si>
  <si>
    <t>Order ID</t>
  </si>
  <si>
    <t>Product View</t>
  </si>
  <si>
    <t>-</t>
  </si>
  <si>
    <t>Add to Cart</t>
  </si>
  <si>
    <t>Delivery Info</t>
  </si>
  <si>
    <t>Confirm Payment</t>
  </si>
  <si>
    <t>Helper</t>
  </si>
  <si>
    <t>User</t>
  </si>
  <si>
    <t>COUNTA of User ID</t>
  </si>
  <si>
    <t>Stages</t>
  </si>
  <si>
    <t>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</si>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</sst>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b/>
      <color theme="1"/>
      <name val="Rubik"/>
    </font>
    <font>
      <color theme="1"/>
      <name val="Rubik"/>
    </font>
    <font>
      <color theme="1"/>
      <name val="Arial"/>
      <scheme val="minor"/>
    </font>
    <font>
      <sz val="9.0"/>
      <color rgb="FF000000"/>
      <name val="&quot;Google Sans Mono&quot;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3" numFmtId="0" xfId="0" applyFont="1"/>
    <xf borderId="1" fillId="3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vertical="bottom"/>
    </xf>
    <xf borderId="1" fillId="0" fontId="2" numFmtId="0" xfId="0" applyBorder="1" applyFont="1"/>
    <xf borderId="1" fillId="0" fontId="2" numFmtId="9" xfId="0" applyAlignment="1" applyBorder="1" applyFont="1" applyNumberFormat="1">
      <alignment horizontal="right" vertical="bottom"/>
    </xf>
    <xf borderId="1" fillId="4" fontId="2" numFmtId="9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/>
    </xf>
    <xf borderId="0" fillId="5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Funnel Chart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3'!$B$1</c:f>
            </c:strRef>
          </c:tx>
          <c:spPr>
            <a:solidFill>
              <a:srgbClr val="4285F4">
                <a:alpha val="0"/>
              </a:srgbClr>
            </a:solidFill>
            <a:ln cmpd="sng">
              <a:noFill/>
            </a:ln>
          </c:spPr>
          <c:cat>
            <c:strRef>
              <c:f>'Pivot Table 3'!$A$2:$A$5</c:f>
            </c:strRef>
          </c:cat>
          <c:val>
            <c:numRef>
              <c:f>'Pivot Table 3'!$B$2:$B$5</c:f>
              <c:numCache/>
            </c:numRef>
          </c:val>
        </c:ser>
        <c:ser>
          <c:idx val="1"/>
          <c:order val="1"/>
          <c:tx>
            <c:strRef>
              <c:f>'Pivot Table 3'!$C$1</c:f>
            </c:strRef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3'!$A$2:$A$5</c:f>
            </c:strRef>
          </c:cat>
          <c:val>
            <c:numRef>
              <c:f>'Pivot Table 3'!$C$2:$C$5</c:f>
              <c:numCache/>
            </c:numRef>
          </c:val>
        </c:ser>
        <c:overlap val="100"/>
        <c:axId val="1394507252"/>
        <c:axId val="1888000278"/>
      </c:barChart>
      <c:catAx>
        <c:axId val="13945072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8000278"/>
      </c:catAx>
      <c:valAx>
        <c:axId val="18880002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507252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Funnel Chart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'Key Answer'!$K$2</c:f>
            </c:strRef>
          </c:tx>
          <c:spPr>
            <a:solidFill>
              <a:schemeClr val="lt1"/>
            </a:solidFill>
            <a:ln cmpd="sng">
              <a:noFill/>
            </a:ln>
          </c:spPr>
          <c:cat>
            <c:strRef>
              <c:f>'Key Answer'!$I$3:$I$6</c:f>
            </c:strRef>
          </c:cat>
          <c:val>
            <c:numRef>
              <c:f>'Key Answer'!$K$3:$K$6</c:f>
              <c:numCache/>
            </c:numRef>
          </c:val>
        </c:ser>
        <c:ser>
          <c:idx val="1"/>
          <c:order val="1"/>
          <c:tx>
            <c:strRef>
              <c:f>'Key Answer'!$J$2</c:f>
            </c:strRef>
          </c:tx>
          <c:spPr>
            <a:solidFill>
              <a:schemeClr val="accent6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'Key Answer'!$I$3:$I$6</c:f>
            </c:strRef>
          </c:cat>
          <c:val>
            <c:numRef>
              <c:f>'Key Answer'!$J$3:$J$6</c:f>
              <c:numCache/>
            </c:numRef>
          </c:val>
        </c:ser>
        <c:overlap val="100"/>
        <c:axId val="327041940"/>
        <c:axId val="2037367792"/>
      </c:barChart>
      <c:catAx>
        <c:axId val="3270419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7367792"/>
      </c:catAx>
      <c:valAx>
        <c:axId val="2037367792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600">
                <a:solidFill>
                  <a:schemeClr val="lt1"/>
                </a:solidFill>
                <a:latin typeface="+mn-lt"/>
              </a:defRPr>
            </a:pPr>
          </a:p>
        </c:txPr>
        <c:crossAx val="327041940"/>
        <c:crosses val="max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1181100</xdr:colOff>
      <xdr:row>6</xdr:row>
      <xdr:rowOff>57150</xdr:rowOff>
    </xdr:from>
    <xdr:ext cx="57150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7</xdr:row>
      <xdr:rowOff>190500</xdr:rowOff>
    </xdr:from>
    <xdr:ext cx="6096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0" sheet="Dataset"/>
  </cacheSource>
  <cacheFields>
    <cacheField name="User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Stage" numFmtId="0">
      <sharedItems>
        <s v="Product View"/>
        <s v="Add to Cart"/>
        <s v="Delivery Info"/>
        <s v="Confirm Payment"/>
      </sharedItems>
    </cacheField>
    <cacheField name="Timestamp" numFmtId="164">
      <sharedItems containsSemiMixedTypes="0" containsDate="1" containsString="0">
        <d v="2024-08-01T10:00:00Z"/>
        <d v="2024-08-01T10:05:00Z"/>
        <d v="2024-08-01T10:10:00Z"/>
        <d v="2024-08-01T10:15:00Z"/>
        <d v="2024-08-01T11:00:00Z"/>
        <d v="2024-08-01T11:05:00Z"/>
        <d v="2024-08-01T11:10:00Z"/>
        <d v="2024-08-01T11:15:00Z"/>
        <d v="2024-08-01T12:00:00Z"/>
        <d v="2024-08-01T12:05:00Z"/>
        <d v="2024-08-01T12:10:00Z"/>
        <d v="2024-08-01T12:15:00Z"/>
        <d v="2024-08-01T13:00:00Z"/>
        <d v="2024-08-01T13:05:00Z"/>
        <d v="2024-08-01T14:00:00Z"/>
        <d v="2024-08-01T14:05:00Z"/>
        <d v="2024-08-01T14:10:00Z"/>
        <d v="2024-08-01T15:00:00Z"/>
        <d v="2024-08-01T15:05:00Z"/>
        <d v="2024-08-01T15:10:00Z"/>
        <d v="2024-08-01T16:00:00Z"/>
        <d v="2024-08-01T16:05:00Z"/>
        <d v="2024-08-01T16:10:00Z"/>
        <d v="2024-08-01T17:00:00Z"/>
        <d v="2024-08-01T17:05:00Z"/>
        <d v="2024-08-01T18:05:00Z"/>
        <d v="2024-08-01T19:00:00Z"/>
        <d v="2024-08-01T19:05:00Z"/>
        <d v="2024-08-01T19:10:00Z"/>
      </sharedItems>
    </cacheField>
    <cacheField name="Product ID">
      <sharedItems containsMixedTypes="1" containsNumber="1" containsInteger="1">
        <n v="123.0"/>
        <s v="-"/>
        <n v="456.0"/>
        <n v="789.0"/>
        <n v="234.0"/>
        <n v="345.0"/>
        <n v="567.0"/>
        <n v="678.0"/>
      </sharedItems>
    </cacheField>
    <cacheField name="Quantity">
      <sharedItems containsMixedTypes="1" containsNumber="1" containsInteger="1">
        <s v="-"/>
        <n v="1.0"/>
        <n v="2.0"/>
      </sharedItems>
    </cacheField>
    <cacheField name="Order ID">
      <sharedItems containsMixedTypes="1" containsNumber="1" containsInteger="1">
        <s v="-"/>
        <n v="5678.0"/>
        <n v="6789.0"/>
        <n v="789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30" sheet="Dataset"/>
  </cacheSource>
  <cacheFields>
    <cacheField name="User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</sharedItems>
    </cacheField>
    <cacheField name="Stage" numFmtId="0">
      <sharedItems>
        <s v="Product View"/>
        <s v="Add to Cart"/>
        <s v="Delivery Info"/>
        <s v="Confirm Paymen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rowGrandTotals="0" compact="0" compactData="0">
  <location ref="A14:B18" firstHeaderRow="0" firstDataRow="1" firstDataCol="0"/>
  <pivotFields>
    <pivotField name="Us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age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imestamp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uantity" dataField="1" compact="0" outline="0" multipleItemSelectionAllowed="1" showAll="0">
      <items>
        <item x="0"/>
        <item x="1"/>
        <item x="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User" fld="4" subtotal="count" baseField="0"/>
  </dataFields>
</pivotTableDefinition>
</file>

<file path=xl/pivotTables/pivotTable2.xml><?xml version="1.0" encoding="utf-8"?>
<pivotTableDefinition xmlns="http://schemas.openxmlformats.org/spreadsheetml/2006/main" name="Key Answer" cacheId="1" dataCaption="" compact="0" compactData="0">
  <location ref="A2:F14" firstHeaderRow="0" firstDataRow="1" firstDataCol="1"/>
  <pivotFields>
    <pivotField name="User ID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age" axis="axisCol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colFields>
    <field x="1"/>
  </colFields>
  <dataFields>
    <dataField name="COUNTA of User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4.5"/>
    <col customWidth="1" min="3" max="3" width="17.75"/>
    <col customWidth="1" min="4" max="4" width="12.38"/>
    <col customWidth="1" min="5" max="5" width="10.88"/>
    <col customWidth="1" min="6" max="6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>
        <v>1.0</v>
      </c>
      <c r="B2" s="3" t="s">
        <v>6</v>
      </c>
      <c r="C2" s="4">
        <v>45505.416666666664</v>
      </c>
      <c r="D2" s="3">
        <v>123.0</v>
      </c>
      <c r="E2" s="3" t="s">
        <v>7</v>
      </c>
      <c r="F2" s="3" t="s">
        <v>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3">
        <v>1.0</v>
      </c>
      <c r="B3" s="3" t="s">
        <v>8</v>
      </c>
      <c r="C3" s="4">
        <v>45505.42013888889</v>
      </c>
      <c r="D3" s="3">
        <v>123.0</v>
      </c>
      <c r="E3" s="3">
        <v>1.0</v>
      </c>
      <c r="F3" s="3" t="s">
        <v>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3">
        <v>1.0</v>
      </c>
      <c r="B4" s="3" t="s">
        <v>9</v>
      </c>
      <c r="C4" s="4">
        <v>45505.42361111111</v>
      </c>
      <c r="D4" s="3" t="s">
        <v>7</v>
      </c>
      <c r="E4" s="3" t="s">
        <v>7</v>
      </c>
      <c r="F4" s="3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3">
        <v>1.0</v>
      </c>
      <c r="B5" s="3" t="s">
        <v>10</v>
      </c>
      <c r="C5" s="4">
        <v>45505.427083333336</v>
      </c>
      <c r="D5" s="3" t="s">
        <v>7</v>
      </c>
      <c r="E5" s="3" t="s">
        <v>7</v>
      </c>
      <c r="F5" s="3">
        <v>5678.0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3">
        <v>2.0</v>
      </c>
      <c r="B6" s="3" t="s">
        <v>6</v>
      </c>
      <c r="C6" s="4">
        <v>45505.458333333336</v>
      </c>
      <c r="D6" s="3">
        <v>456.0</v>
      </c>
      <c r="E6" s="3" t="s">
        <v>7</v>
      </c>
      <c r="F6" s="3" t="s">
        <v>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3">
        <v>2.0</v>
      </c>
      <c r="B7" s="3" t="s">
        <v>8</v>
      </c>
      <c r="C7" s="4">
        <v>45505.461805555555</v>
      </c>
      <c r="D7" s="3">
        <v>456.0</v>
      </c>
      <c r="E7" s="3">
        <v>2.0</v>
      </c>
      <c r="F7" s="3" t="s">
        <v>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3">
        <v>2.0</v>
      </c>
      <c r="B8" s="3" t="s">
        <v>9</v>
      </c>
      <c r="C8" s="4">
        <v>45505.46527777778</v>
      </c>
      <c r="D8" s="3" t="s">
        <v>7</v>
      </c>
      <c r="E8" s="3" t="s">
        <v>7</v>
      </c>
      <c r="F8" s="3" t="s">
        <v>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3">
        <v>2.0</v>
      </c>
      <c r="B9" s="3" t="s">
        <v>10</v>
      </c>
      <c r="C9" s="4">
        <v>45505.46875</v>
      </c>
      <c r="D9" s="3" t="s">
        <v>7</v>
      </c>
      <c r="E9" s="3" t="s">
        <v>7</v>
      </c>
      <c r="F9" s="3">
        <v>6789.0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3">
        <v>3.0</v>
      </c>
      <c r="B10" s="3" t="s">
        <v>6</v>
      </c>
      <c r="C10" s="4">
        <v>45505.5</v>
      </c>
      <c r="D10" s="3">
        <v>789.0</v>
      </c>
      <c r="E10" s="3" t="s">
        <v>7</v>
      </c>
      <c r="F10" s="3" t="s">
        <v>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3">
        <v>3.0</v>
      </c>
      <c r="B11" s="3" t="s">
        <v>8</v>
      </c>
      <c r="C11" s="4">
        <v>45505.50347222222</v>
      </c>
      <c r="D11" s="3">
        <v>789.0</v>
      </c>
      <c r="E11" s="3">
        <v>1.0</v>
      </c>
      <c r="F11" s="3" t="s">
        <v>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3">
        <v>3.0</v>
      </c>
      <c r="B12" s="3" t="s">
        <v>9</v>
      </c>
      <c r="C12" s="4">
        <v>45505.506944444445</v>
      </c>
      <c r="D12" s="3" t="s">
        <v>7</v>
      </c>
      <c r="E12" s="3" t="s">
        <v>7</v>
      </c>
      <c r="F12" s="3" t="s">
        <v>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3">
        <v>3.0</v>
      </c>
      <c r="B13" s="3" t="s">
        <v>10</v>
      </c>
      <c r="C13" s="4">
        <v>45505.510416666664</v>
      </c>
      <c r="D13" s="3" t="s">
        <v>7</v>
      </c>
      <c r="E13" s="3" t="s">
        <v>7</v>
      </c>
      <c r="F13" s="3">
        <v>7890.0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5">
        <v>4.0</v>
      </c>
      <c r="B14" s="3" t="s">
        <v>6</v>
      </c>
      <c r="C14" s="6">
        <v>45505.541666666664</v>
      </c>
      <c r="D14" s="3">
        <v>123.0</v>
      </c>
      <c r="E14" s="3" t="s">
        <v>7</v>
      </c>
      <c r="F14" s="3" t="s">
        <v>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5">
        <v>4.0</v>
      </c>
      <c r="B15" s="3" t="s">
        <v>8</v>
      </c>
      <c r="C15" s="6">
        <v>45505.54513888889</v>
      </c>
      <c r="D15" s="3">
        <v>123.0</v>
      </c>
      <c r="E15" s="3">
        <v>1.0</v>
      </c>
      <c r="F15" s="3" t="s">
        <v>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5">
        <v>5.0</v>
      </c>
      <c r="B16" s="3" t="s">
        <v>6</v>
      </c>
      <c r="C16" s="6">
        <v>45505.583333333336</v>
      </c>
      <c r="D16" s="3">
        <v>234.0</v>
      </c>
      <c r="E16" s="3" t="s">
        <v>7</v>
      </c>
      <c r="F16" s="3" t="s">
        <v>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5">
        <v>5.0</v>
      </c>
      <c r="B17" s="3" t="s">
        <v>8</v>
      </c>
      <c r="C17" s="6">
        <v>45505.586805555555</v>
      </c>
      <c r="D17" s="3">
        <v>234.0</v>
      </c>
      <c r="E17" s="3">
        <v>1.0</v>
      </c>
      <c r="F17" s="3" t="s">
        <v>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5">
        <v>5.0</v>
      </c>
      <c r="B18" s="3" t="s">
        <v>9</v>
      </c>
      <c r="C18" s="6">
        <v>45505.59027777778</v>
      </c>
      <c r="D18" s="3" t="s">
        <v>7</v>
      </c>
      <c r="E18" s="3" t="s">
        <v>7</v>
      </c>
      <c r="F18" s="3" t="s">
        <v>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5">
        <v>6.0</v>
      </c>
      <c r="B19" s="3" t="s">
        <v>6</v>
      </c>
      <c r="C19" s="6">
        <v>45505.625</v>
      </c>
      <c r="D19" s="3">
        <v>345.0</v>
      </c>
      <c r="E19" s="3" t="s">
        <v>7</v>
      </c>
      <c r="F19" s="3" t="s">
        <v>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5">
        <v>6.0</v>
      </c>
      <c r="B20" s="3" t="s">
        <v>8</v>
      </c>
      <c r="C20" s="6">
        <v>45505.62847222222</v>
      </c>
      <c r="D20" s="3">
        <v>345.0</v>
      </c>
      <c r="E20" s="3">
        <v>1.0</v>
      </c>
      <c r="F20" s="3" t="s">
        <v>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5">
        <v>6.0</v>
      </c>
      <c r="B21" s="3" t="s">
        <v>9</v>
      </c>
      <c r="C21" s="6">
        <v>45505.631944444445</v>
      </c>
      <c r="D21" s="3" t="s">
        <v>7</v>
      </c>
      <c r="E21" s="3" t="s">
        <v>7</v>
      </c>
      <c r="F21" s="3" t="s">
        <v>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5">
        <v>7.0</v>
      </c>
      <c r="B22" s="3" t="s">
        <v>6</v>
      </c>
      <c r="C22" s="6">
        <v>45505.666666666664</v>
      </c>
      <c r="D22" s="3">
        <v>456.0</v>
      </c>
      <c r="E22" s="3" t="s">
        <v>7</v>
      </c>
      <c r="F22" s="3" t="s">
        <v>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5">
        <v>7.0</v>
      </c>
      <c r="B23" s="3" t="s">
        <v>8</v>
      </c>
      <c r="C23" s="6">
        <v>45505.67013888889</v>
      </c>
      <c r="D23" s="3">
        <v>456.0</v>
      </c>
      <c r="E23" s="3">
        <v>2.0</v>
      </c>
      <c r="F23" s="3" t="s">
        <v>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5">
        <v>7.0</v>
      </c>
      <c r="B24" s="3" t="s">
        <v>9</v>
      </c>
      <c r="C24" s="6">
        <v>45505.67361111111</v>
      </c>
      <c r="D24" s="3" t="s">
        <v>7</v>
      </c>
      <c r="E24" s="3" t="s">
        <v>7</v>
      </c>
      <c r="F24" s="3" t="s">
        <v>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5">
        <v>8.0</v>
      </c>
      <c r="B25" s="3" t="s">
        <v>6</v>
      </c>
      <c r="C25" s="6">
        <v>45505.708333333336</v>
      </c>
      <c r="D25" s="3">
        <v>567.0</v>
      </c>
      <c r="E25" s="3" t="s">
        <v>7</v>
      </c>
      <c r="F25" s="3" t="s">
        <v>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5">
        <v>8.0</v>
      </c>
      <c r="B26" s="3" t="s">
        <v>8</v>
      </c>
      <c r="C26" s="6">
        <v>45505.711805555555</v>
      </c>
      <c r="D26" s="3">
        <v>567.0</v>
      </c>
      <c r="E26" s="3">
        <v>1.0</v>
      </c>
      <c r="F26" s="3" t="s">
        <v>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5">
        <v>9.0</v>
      </c>
      <c r="B27" s="3" t="s">
        <v>6</v>
      </c>
      <c r="C27" s="6">
        <v>45505.75347222222</v>
      </c>
      <c r="D27" s="3">
        <v>678.0</v>
      </c>
      <c r="E27" s="3">
        <v>1.0</v>
      </c>
      <c r="F27" s="3" t="s">
        <v>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3">
        <v>10.0</v>
      </c>
      <c r="B28" s="3" t="s">
        <v>6</v>
      </c>
      <c r="C28" s="4">
        <v>45505.791666666664</v>
      </c>
      <c r="D28" s="3">
        <v>789.0</v>
      </c>
      <c r="E28" s="3" t="s">
        <v>7</v>
      </c>
      <c r="F28" s="3" t="s">
        <v>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3">
        <v>10.0</v>
      </c>
      <c r="B29" s="3" t="s">
        <v>8</v>
      </c>
      <c r="C29" s="4">
        <v>45505.79513888889</v>
      </c>
      <c r="D29" s="3">
        <v>789.0</v>
      </c>
      <c r="E29" s="3">
        <v>1.0</v>
      </c>
      <c r="F29" s="3" t="s">
        <v>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3">
        <v>10.0</v>
      </c>
      <c r="B30" s="3" t="s">
        <v>9</v>
      </c>
      <c r="C30" s="4">
        <v>45505.79861111111</v>
      </c>
      <c r="D30" s="3" t="s">
        <v>7</v>
      </c>
      <c r="E30" s="3" t="s">
        <v>7</v>
      </c>
      <c r="F30" s="3" t="s">
        <v>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</sheetData>
  <autoFilter ref="$A$1:$F$3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6" width="19.25"/>
  </cols>
  <sheetData>
    <row r="1">
      <c r="A1" s="7" t="s">
        <v>1</v>
      </c>
      <c r="B1" s="7" t="s">
        <v>11</v>
      </c>
      <c r="C1" s="8" t="s">
        <v>12</v>
      </c>
    </row>
    <row r="2">
      <c r="A2" s="7" t="s">
        <v>6</v>
      </c>
      <c r="B2" s="8">
        <f>(MAX(C2:C5)-C2)/2</f>
        <v>0</v>
      </c>
      <c r="C2" s="8">
        <v>10.0</v>
      </c>
    </row>
    <row r="3">
      <c r="A3" s="7" t="s">
        <v>8</v>
      </c>
      <c r="B3" s="8">
        <f>(MAX(C2:C5)-C3)/2</f>
        <v>0.5</v>
      </c>
      <c r="C3" s="8">
        <v>9.0</v>
      </c>
    </row>
    <row r="4">
      <c r="A4" s="7" t="s">
        <v>9</v>
      </c>
      <c r="B4" s="8">
        <f>(MAX(C2:C5)-C4)/2</f>
        <v>1.5</v>
      </c>
      <c r="C4" s="8">
        <v>7.0</v>
      </c>
    </row>
    <row r="5">
      <c r="A5" s="7" t="s">
        <v>10</v>
      </c>
      <c r="B5" s="8">
        <f>(MAX(C2:C5)-C5)/2</f>
        <v>3.5</v>
      </c>
      <c r="C5" s="8">
        <v>3.0</v>
      </c>
    </row>
    <row r="14"/>
    <row r="15"/>
    <row r="16"/>
    <row r="17"/>
    <row r="1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5"/>
    <col customWidth="1" min="2" max="2" width="11.38"/>
    <col customWidth="1" min="3" max="3" width="9.88"/>
    <col customWidth="1" min="4" max="4" width="10.75"/>
    <col customWidth="1" min="5" max="5" width="14.5"/>
    <col hidden="1" min="6" max="6" width="12.63"/>
    <col customWidth="1" min="7" max="7" width="9.88"/>
    <col customWidth="1" min="9" max="9" width="14.5"/>
    <col customWidth="1" min="10" max="10" width="6.13"/>
    <col customWidth="1" min="11" max="11" width="6.5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G2" s="2"/>
      <c r="H2" s="2"/>
      <c r="I2" s="10" t="s">
        <v>14</v>
      </c>
      <c r="J2" s="10" t="s">
        <v>15</v>
      </c>
      <c r="K2" s="11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G3" s="2"/>
      <c r="H3" s="2"/>
      <c r="I3" s="12" t="s">
        <v>6</v>
      </c>
      <c r="J3" s="13">
        <f>COUNTIF(B4:B13,1)/COUNT($A$4:$A$13)</f>
        <v>1</v>
      </c>
      <c r="K3" s="14">
        <f t="shared" ref="K3:K6" si="1">($J$3-J3)/2</f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G4" s="2"/>
      <c r="H4" s="2"/>
      <c r="I4" s="15" t="s">
        <v>8</v>
      </c>
      <c r="J4" s="13">
        <f>COUNTIF(C4:C13,1)/COUNT($A$4:$A$13)</f>
        <v>0.9</v>
      </c>
      <c r="K4" s="14">
        <f t="shared" si="1"/>
        <v>0.05</v>
      </c>
      <c r="L4" s="2"/>
      <c r="M4" s="2"/>
      <c r="N4" s="16"/>
      <c r="O4" s="16"/>
      <c r="P4" s="16"/>
      <c r="Q4" s="16"/>
      <c r="R4" s="2"/>
      <c r="S4" s="2"/>
      <c r="T4" s="2"/>
      <c r="U4" s="2"/>
      <c r="V4" s="2"/>
      <c r="W4" s="2"/>
      <c r="X4" s="2"/>
      <c r="Y4" s="2"/>
      <c r="Z4" s="2"/>
    </row>
    <row r="5">
      <c r="G5" s="2"/>
      <c r="H5" s="2"/>
      <c r="I5" s="12" t="s">
        <v>9</v>
      </c>
      <c r="J5" s="13">
        <f>COUNTIF(D4:D13,1)/COUNT($A$4:$A$13)</f>
        <v>0.7</v>
      </c>
      <c r="K5" s="14">
        <f t="shared" si="1"/>
        <v>0.15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G6" s="2"/>
      <c r="H6" s="2"/>
      <c r="I6" s="12" t="s">
        <v>10</v>
      </c>
      <c r="J6" s="13">
        <f>COUNTIF(E4:E13,1)/COUNT($A$4:$A$13)</f>
        <v>0.3</v>
      </c>
      <c r="K6" s="14">
        <f t="shared" si="1"/>
        <v>0.35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G7" s="2"/>
      <c r="H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2"/>
</worksheet>
</file>